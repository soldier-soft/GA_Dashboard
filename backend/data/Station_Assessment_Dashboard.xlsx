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e31df279349000/Apps/Documents/"/>
    </mc:Choice>
  </mc:AlternateContent>
  <xr:revisionPtr revIDLastSave="0" documentId="8_{6ED83B9A-1B81-4EEC-8ACF-DEF454CC6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Instruction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7" i="2"/>
  <c r="L9" i="1" s="1"/>
  <c r="C6" i="2"/>
  <c r="C5" i="2"/>
  <c r="K28" i="1"/>
  <c r="J28" i="1"/>
  <c r="K27" i="1"/>
  <c r="J27" i="1"/>
  <c r="K26" i="1"/>
  <c r="J26" i="1"/>
  <c r="K22" i="1"/>
  <c r="J22" i="1"/>
  <c r="K21" i="1"/>
  <c r="J21" i="1"/>
  <c r="K20" i="1"/>
  <c r="J20" i="1"/>
  <c r="K16" i="1"/>
  <c r="J16" i="1"/>
  <c r="K15" i="1"/>
  <c r="J15" i="1"/>
  <c r="K14" i="1"/>
  <c r="J14" i="1"/>
  <c r="K13" i="1"/>
  <c r="J13" i="1"/>
  <c r="K9" i="1"/>
  <c r="J9" i="1"/>
  <c r="L8" i="1"/>
  <c r="K8" i="1"/>
  <c r="J8" i="1"/>
  <c r="L7" i="1"/>
  <c r="J7" i="1"/>
  <c r="G7" i="1"/>
  <c r="E7" i="1"/>
  <c r="A7" i="1"/>
</calcChain>
</file>

<file path=xl/sharedStrings.xml><?xml version="1.0" encoding="utf-8"?>
<sst xmlns="http://schemas.openxmlformats.org/spreadsheetml/2006/main" count="68" uniqueCount="56">
  <si>
    <t>STATION ASSESSMENT DASHBOARD</t>
  </si>
  <si>
    <t>LHD Impacted Stations  |  Progress  |  WPI  |  Health &amp; Safety  |  Action Category</t>
  </si>
  <si>
    <t>Live from editable Data sheet</t>
  </si>
  <si>
    <t>✓ AUTO UPDATES</t>
  </si>
  <si>
    <t>1. ASSESSMENT COMPLETION</t>
  </si>
  <si>
    <t>TABLE 1 — ASSESSMENT COMPLETION</t>
  </si>
  <si>
    <t>LHD IMPACTED</t>
  </si>
  <si>
    <t>COMPLETED</t>
  </si>
  <si>
    <t>IN PROGRESS</t>
  </si>
  <si>
    <t>COMPLETION RATE</t>
  </si>
  <si>
    <t>Assessment status</t>
  </si>
  <si>
    <t>Stations</t>
  </si>
  <si>
    <t>Percentage</t>
  </si>
  <si>
    <t>TABLE 2 — WPI</t>
  </si>
  <si>
    <t>WPI</t>
  </si>
  <si>
    <t>Data</t>
  </si>
  <si>
    <t>TABLE 3 — HEALTH &amp; SAFETY</t>
  </si>
  <si>
    <t>2. WPI</t>
  </si>
  <si>
    <t>Health and safety</t>
  </si>
  <si>
    <t>TABLE 4 — ACTION CATEGORY</t>
  </si>
  <si>
    <t>Action category</t>
  </si>
  <si>
    <t>3 &amp; 4. HEALTH &amp; SAFETY + ACTION CATEGORY (COMBINED VIEW)</t>
  </si>
  <si>
    <t>EDITABLE SOURCE DATA — edit blue-font values</t>
  </si>
  <si>
    <t>Table 1 — Assessment Completion</t>
  </si>
  <si>
    <t>Table 3 — Health &amp; Safety</t>
  </si>
  <si>
    <t>Table 4 — Action Category</t>
  </si>
  <si>
    <t>LHD IMPACTED STATION</t>
  </si>
  <si>
    <t>Total</t>
  </si>
  <si>
    <t>Facility</t>
  </si>
  <si>
    <t>COMPLETED STATION</t>
  </si>
  <si>
    <t>In progress</t>
  </si>
  <si>
    <t>Process</t>
  </si>
  <si>
    <t>INPROGRESS STATION</t>
  </si>
  <si>
    <t>Closed</t>
  </si>
  <si>
    <t>Training</t>
  </si>
  <si>
    <t>Table 2 — WPI</t>
  </si>
  <si>
    <t>Customer experience</t>
  </si>
  <si>
    <t>Logistics</t>
  </si>
  <si>
    <t>Workplace organization</t>
  </si>
  <si>
    <t>Dashboard charts and displayed tables use these values. Existing rows are linked to the dashboard.</t>
  </si>
  <si>
    <t>HOW TO USE THIS DASHBOARD</t>
  </si>
  <si>
    <t>1</t>
  </si>
  <si>
    <t>Edit source values</t>
  </si>
  <si>
    <t>Open the Data sheet and edit blue-font numbers or labels.</t>
  </si>
  <si>
    <t>2</t>
  </si>
  <si>
    <t>Dashboard tables</t>
  </si>
  <si>
    <t>The four tables on the right are linked to the Data sheet with formulas.</t>
  </si>
  <si>
    <t>3</t>
  </si>
  <si>
    <t>Auto-updating charts</t>
  </si>
  <si>
    <t>Charts on the left are editable Excel charts and update when source values change.</t>
  </si>
  <si>
    <t>4</t>
  </si>
  <si>
    <t>Combined lower panel</t>
  </si>
  <si>
    <t>Health &amp; Safety is a 2D column chart; Action Category is a horizontal 2D bar chart, side by side in one combined section.</t>
  </si>
  <si>
    <t>5</t>
  </si>
  <si>
    <t>Adding rows</t>
  </si>
  <si>
    <t>If you add categories, extend the chart's data range through Chart Design → Select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</si>
</sst>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b/>
      <sz val="23"/>
      <color rgb="FFFFFFFF"/>
      <name val="Aptos Display"/>
    </font>
    <font>
      <sz val="10"/>
      <color rgb="FFFFFFFF"/>
      <name val="Calibri"/>
    </font>
    <font>
      <i/>
      <sz val="10"/>
      <color rgb="FFFFFFFF"/>
      <name val="Calibri"/>
    </font>
    <font>
      <b/>
      <sz val="10"/>
      <color rgb="FFFFFFFF"/>
      <name val="Calibri"/>
    </font>
    <font>
      <b/>
      <sz val="18"/>
      <color rgb="FFFFFFFF"/>
      <name val="Calibri"/>
    </font>
    <font>
      <b/>
      <sz val="13"/>
      <color rgb="FF17365D"/>
      <name val="Calibri"/>
    </font>
    <font>
      <sz val="11"/>
      <color rgb="FF0070C0"/>
      <name val="Calibri"/>
    </font>
    <font>
      <i/>
      <sz val="11"/>
      <color rgb="FF65758B"/>
      <name val="Calibri"/>
    </font>
    <font>
      <b/>
      <sz val="12"/>
      <color rgb="FF17365D"/>
      <name val="Calibri"/>
    </font>
    <font>
      <b/>
      <sz val="11"/>
      <color rgb="FF17365D"/>
      <name val="Calibri"/>
    </font>
    <font>
      <sz val="9"/>
      <color rgb="FF17365D"/>
      <name val="Calibri"/>
    </font>
    <font>
      <b/>
      <sz val="9"/>
      <color rgb="FF2F80ED"/>
      <name val="Calibri"/>
    </font>
    <font>
      <b/>
      <sz val="19"/>
      <color rgb="FF2F80ED"/>
      <name val="Calibri"/>
    </font>
    <font>
      <b/>
      <sz val="9"/>
      <color rgb="FF27AE60"/>
      <name val="Calibri"/>
    </font>
    <font>
      <b/>
      <sz val="19"/>
      <color rgb="FF27AE60"/>
      <name val="Calibri"/>
    </font>
    <font>
      <b/>
      <sz val="9"/>
      <color rgb="FFF2994A"/>
      <name val="Calibri"/>
    </font>
    <font>
      <b/>
      <sz val="19"/>
      <color rgb="FFF2994A"/>
      <name val="Calibri"/>
    </font>
    <font>
      <b/>
      <sz val="9"/>
      <color rgb="FF17365D"/>
      <name val="Calibri"/>
    </font>
    <font>
      <b/>
      <sz val="19"/>
      <color rgb="FF17365D"/>
      <name val="Calibri"/>
    </font>
    <font>
      <b/>
      <sz val="20"/>
      <color rgb="FFFFFFFF"/>
      <name val="Calibri"/>
    </font>
    <font>
      <b/>
      <sz val="14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7AE60"/>
      </patternFill>
    </fill>
    <fill>
      <patternFill patternType="solid">
        <fgColor rgb="FFEAF3FF"/>
      </patternFill>
    </fill>
    <fill>
      <patternFill patternType="solid">
        <fgColor rgb="FFDCEEFF"/>
      </patternFill>
    </fill>
    <fill>
      <patternFill patternType="solid">
        <fgColor rgb="FFF8FBFF"/>
      </patternFill>
    </fill>
    <fill>
      <patternFill patternType="solid">
        <fgColor rgb="FFE8F7EF"/>
      </patternFill>
    </fill>
    <fill>
      <patternFill patternType="solid">
        <fgColor rgb="FFFFF1DA"/>
      </patternFill>
    </fill>
    <fill>
      <patternFill patternType="solid">
        <fgColor rgb="FFFFFFFF"/>
      </patternFill>
    </fill>
    <fill>
      <patternFill patternType="solid">
        <fgColor rgb="FF2F80ED"/>
      </patternFill>
    </fill>
  </fills>
  <borders count="10">
    <border>
      <left/>
      <right/>
      <top/>
      <bottom/>
      <diagonal/>
    </border>
    <border>
      <left/>
      <right/>
      <top/>
      <bottom style="hair">
        <color rgb="FFB8D5F5"/>
      </bottom>
      <diagonal/>
    </border>
    <border>
      <left style="thin">
        <color rgb="FFB8D5F5"/>
      </left>
      <right style="thin">
        <color rgb="FFB8D5F5"/>
      </right>
      <top style="thin">
        <color rgb="FFB8D5F5"/>
      </top>
      <bottom style="thin">
        <color rgb="FFB8D5F5"/>
      </bottom>
      <diagonal/>
    </border>
    <border>
      <left/>
      <right/>
      <top/>
      <bottom style="thin">
        <color rgb="FFB8D5F5"/>
      </bottom>
      <diagonal/>
    </border>
    <border>
      <left/>
      <right style="thin">
        <color rgb="FFB8D5F5"/>
      </right>
      <top style="thin">
        <color rgb="FFB8D5F5"/>
      </top>
      <bottom/>
      <diagonal/>
    </border>
    <border>
      <left/>
      <right style="thin">
        <color rgb="FFB8D5F5"/>
      </right>
      <top style="thin">
        <color rgb="FFB8D5F5"/>
      </top>
      <bottom style="thin">
        <color rgb="FFB8D5F5"/>
      </bottom>
      <diagonal/>
    </border>
    <border>
      <left/>
      <right/>
      <top style="thin">
        <color rgb="FFB8D5F5"/>
      </top>
      <bottom style="thin">
        <color rgb="FFB8D5F5"/>
      </bottom>
      <diagonal/>
    </border>
    <border>
      <left style="thin">
        <color rgb="FFB8D5F5"/>
      </left>
      <right/>
      <top/>
      <bottom style="thin">
        <color rgb="FFB8D5F5"/>
      </bottom>
      <diagonal/>
    </border>
    <border>
      <left/>
      <right style="thin">
        <color rgb="FFB8D5F5"/>
      </right>
      <top/>
      <bottom style="thin">
        <color rgb="FFB8D5F5"/>
      </bottom>
      <diagonal/>
    </border>
    <border>
      <left/>
      <right/>
      <top/>
      <bottom style="thin">
        <color rgb="FFB8D5F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0" fillId="9" borderId="0" xfId="0" applyFill="1"/>
    <xf numFmtId="0" fontId="10" fillId="5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64" fontId="11" fillId="0" borderId="2" xfId="0" applyNumberFormat="1" applyFont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164" fontId="11" fillId="6" borderId="2" xfId="0" applyNumberFormat="1" applyFont="1" applyFill="1" applyBorder="1" applyAlignment="1">
      <alignment vertical="center" wrapText="1"/>
    </xf>
    <xf numFmtId="0" fontId="10" fillId="5" borderId="2" xfId="0" applyFont="1" applyFill="1" applyBorder="1"/>
    <xf numFmtId="0" fontId="11" fillId="6" borderId="2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6" borderId="2" xfId="0" applyFont="1" applyFill="1" applyBorder="1"/>
    <xf numFmtId="0" fontId="11" fillId="0" borderId="2" xfId="0" applyFont="1" applyBorder="1"/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21" fillId="10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4" fillId="7" borderId="2" xfId="0" applyFont="1" applyFill="1" applyBorder="1" applyAlignment="1">
      <alignment horizontal="center" vertical="center"/>
    </xf>
    <xf numFmtId="0" fontId="0" fillId="0" borderId="5" xfId="0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2" borderId="0" xfId="0" applyFont="1" applyFill="1" applyAlignment="1">
      <alignment horizontal="right" vertical="center"/>
    </xf>
    <xf numFmtId="0" fontId="12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indent="1"/>
    </xf>
    <xf numFmtId="0" fontId="0" fillId="0" borderId="6" xfId="0" applyBorder="1"/>
    <xf numFmtId="1" fontId="15" fillId="7" borderId="2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1" fontId="17" fillId="8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 indent="1"/>
    </xf>
    <xf numFmtId="0" fontId="16" fillId="8" borderId="2" xfId="0" applyFont="1" applyFill="1" applyBorder="1" applyAlignment="1">
      <alignment horizontal="center" vertical="center"/>
    </xf>
    <xf numFmtId="164" fontId="19" fillId="4" borderId="2" xfId="0" applyNumberFormat="1" applyFont="1" applyFill="1" applyBorder="1" applyAlignment="1">
      <alignment horizontal="center" vertical="center"/>
    </xf>
    <xf numFmtId="1" fontId="13" fillId="4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8" fillId="0" borderId="0" xfId="0" applyFont="1"/>
    <xf numFmtId="0" fontId="0" fillId="0" borderId="3" xfId="0" applyBorder="1" applyAlignment="1">
      <alignment vertical="center" wrapText="1"/>
    </xf>
    <xf numFmtId="0" fontId="0" fillId="0" borderId="9" xfId="0" applyBorder="1"/>
    <xf numFmtId="0" fontId="2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Station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Data!$A$6:$A$7</c:f>
              <c:strCache>
                <c:ptCount val="2"/>
                <c:pt idx="0">
                  <c:v>COMPLETED STATION</c:v>
                </c:pt>
                <c:pt idx="1">
                  <c:v>INPROGRESS STATION</c:v>
                </c:pt>
              </c:strCache>
            </c:strRef>
          </c:cat>
          <c:val>
            <c:numRef>
              <c:f>Data!$B$6:$B$7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E-4F39-A1BE-37EC7A72485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WPI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Data!$B$10</c:f>
              <c:strCache>
                <c:ptCount val="1"/>
                <c:pt idx="0">
                  <c:v>Data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Data!$A$11:$A$14</c:f>
              <c:strCache>
                <c:ptCount val="4"/>
                <c:pt idx="0">
                  <c:v>Health and safety</c:v>
                </c:pt>
                <c:pt idx="1">
                  <c:v>Customer experience</c:v>
                </c:pt>
                <c:pt idx="2">
                  <c:v>Logistics</c:v>
                </c:pt>
                <c:pt idx="3">
                  <c:v>Workplace organization</c:v>
                </c:pt>
              </c:strCache>
            </c:strRef>
          </c:cat>
          <c:val>
            <c:numRef>
              <c:f>Data!$B$11:$B$14</c:f>
              <c:numCache>
                <c:formatCode>General</c:formatCode>
                <c:ptCount val="4"/>
                <c:pt idx="0">
                  <c:v>23</c:v>
                </c:pt>
                <c:pt idx="1">
                  <c:v>150</c:v>
                </c:pt>
                <c:pt idx="2">
                  <c:v>16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A-4AFC-9091-85D1618B755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WPI 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Health &amp; Safety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Data!$F$4</c:f>
              <c:strCache>
                <c:ptCount val="1"/>
                <c:pt idx="0">
                  <c:v>Data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Data!$E$5:$E$7</c:f>
              <c:strCache>
                <c:ptCount val="3"/>
                <c:pt idx="0">
                  <c:v>Total</c:v>
                </c:pt>
                <c:pt idx="1">
                  <c:v>In progress</c:v>
                </c:pt>
                <c:pt idx="2">
                  <c:v>Closed</c:v>
                </c:pt>
              </c:strCache>
            </c:strRef>
          </c:cat>
          <c:val>
            <c:numRef>
              <c:f>Data!$F$5:$F$7</c:f>
              <c:numCache>
                <c:formatCode>General</c:formatCode>
                <c:ptCount val="3"/>
                <c:pt idx="0">
                  <c:v>23</c:v>
                </c:pt>
                <c:pt idx="1">
                  <c:v>21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C-42C5-B658-9335C4A419E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Action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Data!$I$4</c:f>
              <c:strCache>
                <c:ptCount val="1"/>
                <c:pt idx="0">
                  <c:v>Data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Data!$H$5:$H$7</c:f>
              <c:strCache>
                <c:ptCount val="3"/>
                <c:pt idx="0">
                  <c:v>Facility</c:v>
                </c:pt>
                <c:pt idx="1">
                  <c:v>Process</c:v>
                </c:pt>
                <c:pt idx="2">
                  <c:v>Training</c:v>
                </c:pt>
              </c:strCache>
            </c:strRef>
          </c:cat>
          <c:val>
            <c:numRef>
              <c:f>Data!$I$5:$I$7</c:f>
              <c:numCache>
                <c:formatCode>General</c:formatCode>
                <c:ptCount val="3"/>
                <c:pt idx="0">
                  <c:v>10</c:v>
                </c:pt>
                <c:pt idx="1">
                  <c:v>11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C-4697-95A2-BB7F41F6911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3816000" cy="208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7848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44000" cy="23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72571</xdr:colOff>
      <xdr:row>34</xdr:row>
      <xdr:rowOff>0</xdr:rowOff>
    </xdr:from>
    <xdr:ext cx="3744000" cy="23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ssmentCompletion" displayName="AssessmentCompletion" ref="A4:C7">
  <autoFilter ref="A4:C7" xr:uid="{00000000-0009-0000-0100-000001000000}"/>
  <tableColumns count="3">
    <tableColumn id="1" xr3:uid="{00000000-0010-0000-0000-000001000000}" name="Assessment status"/>
    <tableColumn id="2" xr3:uid="{00000000-0010-0000-0000-000002000000}" name="Stations"/>
    <tableColumn id="3" xr3:uid="{00000000-0010-0000-0000-000003000000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PIData" displayName="WPIData" ref="A10:B14">
  <autoFilter ref="A10:B14" xr:uid="{00000000-0009-0000-0100-000002000000}"/>
  <tableColumns count="2">
    <tableColumn id="1" xr3:uid="{00000000-0010-0000-0100-000001000000}" name="WPI"/>
    <tableColumn id="2" xr3:uid="{00000000-0010-0000-0100-000002000000}" name="Data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althSafetyData" displayName="HealthSafetyData" ref="E4:F7">
  <autoFilter ref="E4:F7" xr:uid="{00000000-0009-0000-0100-000003000000}"/>
  <tableColumns count="2">
    <tableColumn id="5" xr3:uid="{00000000-0010-0000-0200-000005000000}" name="Health and safety"/>
    <tableColumn id="6" xr3:uid="{00000000-0010-0000-0200-000006000000}" name="Data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ionCategoryData" displayName="ActionCategoryData" ref="H4:I7">
  <autoFilter ref="H4:I7" xr:uid="{00000000-0009-0000-0100-000004000000}"/>
  <tableColumns count="2">
    <tableColumn id="8" xr3:uid="{00000000-0010-0000-0300-000008000000}" name="Action category"/>
    <tableColumn id="9" xr3:uid="{00000000-0010-0000-0300-000009000000}" name="Dat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P49"/>
  <sheetViews>
    <sheetView showGridLines="0" tabSelected="1" topLeftCell="D1" zoomScale="105" workbookViewId="0">
      <pane ySplit="3" topLeftCell="A4" activePane="bottomLeft" state="frozen"/>
      <selection pane="bottomLeft" activeCell="J11" sqref="J11:P11"/>
    </sheetView>
  </sheetViews>
  <sheetFormatPr defaultRowHeight="14.4" x14ac:dyDescent="0.3"/>
  <cols>
    <col min="1" max="8" width="11.44140625" customWidth="1"/>
    <col min="9" max="9" width="2.44140625" customWidth="1"/>
    <col min="10" max="10" width="18" customWidth="1"/>
    <col min="11" max="13" width="15" customWidth="1"/>
    <col min="14" max="16" width="13" customWidth="1"/>
  </cols>
  <sheetData>
    <row r="1" spans="1:16" ht="28.05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24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22.95" customHeight="1" x14ac:dyDescent="0.3">
      <c r="A3" s="33" t="s">
        <v>1</v>
      </c>
      <c r="B3" s="22"/>
      <c r="C3" s="22"/>
      <c r="D3" s="22"/>
      <c r="E3" s="22"/>
      <c r="F3" s="22"/>
      <c r="G3" s="22"/>
      <c r="H3" s="22"/>
      <c r="I3" s="1"/>
      <c r="J3" s="23" t="s">
        <v>2</v>
      </c>
      <c r="K3" s="22"/>
      <c r="L3" s="22"/>
      <c r="M3" s="22"/>
      <c r="N3" s="37" t="s">
        <v>3</v>
      </c>
      <c r="O3" s="22"/>
      <c r="P3" s="22"/>
    </row>
    <row r="4" spans="1:16" ht="19.95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24" customHeight="1" x14ac:dyDescent="0.3">
      <c r="A5" s="25" t="s">
        <v>4</v>
      </c>
      <c r="B5" s="26"/>
      <c r="C5" s="26"/>
      <c r="D5" s="26"/>
      <c r="E5" s="26"/>
      <c r="F5" s="26"/>
      <c r="G5" s="26"/>
      <c r="H5" s="20"/>
      <c r="I5" s="2"/>
      <c r="J5" s="25" t="s">
        <v>5</v>
      </c>
      <c r="K5" s="26"/>
      <c r="L5" s="26"/>
      <c r="M5" s="26"/>
      <c r="N5" s="26"/>
      <c r="O5" s="26"/>
      <c r="P5" s="20"/>
    </row>
    <row r="6" spans="1:16" ht="24" customHeight="1" x14ac:dyDescent="0.3">
      <c r="A6" s="24" t="s">
        <v>6</v>
      </c>
      <c r="B6" s="20"/>
      <c r="C6" s="19" t="s">
        <v>7</v>
      </c>
      <c r="D6" s="20"/>
      <c r="E6" s="34" t="s">
        <v>8</v>
      </c>
      <c r="F6" s="20"/>
      <c r="G6" s="32" t="s">
        <v>9</v>
      </c>
      <c r="H6" s="20"/>
      <c r="I6" s="2"/>
      <c r="J6" s="3" t="s">
        <v>10</v>
      </c>
      <c r="K6" s="3" t="s">
        <v>11</v>
      </c>
      <c r="L6" s="3" t="s">
        <v>12</v>
      </c>
      <c r="M6" s="2"/>
      <c r="N6" s="2"/>
      <c r="O6" s="2"/>
      <c r="P6" s="2"/>
    </row>
    <row r="7" spans="1:16" ht="24" customHeight="1" x14ac:dyDescent="0.3">
      <c r="A7" s="36">
        <f>Data!B5</f>
        <v>55</v>
      </c>
      <c r="B7" s="28"/>
      <c r="C7" s="27">
        <f>Data!B6</f>
        <v>50</v>
      </c>
      <c r="D7" s="28"/>
      <c r="E7" s="31">
        <f>Data!B7</f>
        <v>10</v>
      </c>
      <c r="F7" s="28"/>
      <c r="G7" s="35">
        <f>IFERROR(Data!B6/Data!B5,0)</f>
        <v>0.90909090909090906</v>
      </c>
      <c r="H7" s="28"/>
      <c r="I7" s="2"/>
      <c r="J7" s="4" t="str">
        <f>Data!A5</f>
        <v>LHD IMPACTED STATION</v>
      </c>
      <c r="K7" s="4">
        <v>55</v>
      </c>
      <c r="L7" s="5">
        <f>Data!C5</f>
        <v>1</v>
      </c>
      <c r="M7" s="2"/>
      <c r="N7" s="2"/>
      <c r="O7" s="2"/>
      <c r="P7" s="2"/>
    </row>
    <row r="8" spans="1:16" ht="24" customHeight="1" x14ac:dyDescent="0.3">
      <c r="A8" s="29"/>
      <c r="B8" s="30"/>
      <c r="C8" s="29"/>
      <c r="D8" s="30"/>
      <c r="E8" s="29"/>
      <c r="F8" s="30"/>
      <c r="G8" s="29"/>
      <c r="H8" s="30"/>
      <c r="I8" s="2"/>
      <c r="J8" s="6" t="str">
        <f>Data!A6</f>
        <v>COMPLETED STATION</v>
      </c>
      <c r="K8" s="6">
        <f>Data!B6</f>
        <v>50</v>
      </c>
      <c r="L8" s="7">
        <f>Data!C6</f>
        <v>0.90909090909090906</v>
      </c>
      <c r="M8" s="2"/>
      <c r="N8" s="2"/>
      <c r="O8" s="2"/>
      <c r="P8" s="2"/>
    </row>
    <row r="9" spans="1:16" ht="19.95" customHeight="1" x14ac:dyDescent="0.3">
      <c r="A9" s="2"/>
      <c r="B9" s="2"/>
      <c r="C9" s="2"/>
      <c r="D9" s="2"/>
      <c r="E9" s="2"/>
      <c r="F9" s="2"/>
      <c r="G9" s="2"/>
      <c r="H9" s="2"/>
      <c r="I9" s="2"/>
      <c r="J9" s="4" t="str">
        <f>Data!A7</f>
        <v>INPROGRESS STATION</v>
      </c>
      <c r="K9" s="4">
        <f>Data!B7</f>
        <v>10</v>
      </c>
      <c r="L9" s="5">
        <f>Data!C7</f>
        <v>0.18181818181818182</v>
      </c>
      <c r="M9" s="2"/>
      <c r="N9" s="2"/>
      <c r="O9" s="2"/>
      <c r="P9" s="2"/>
    </row>
    <row r="10" spans="1:16" ht="19.9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24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5" t="s">
        <v>13</v>
      </c>
      <c r="K11" s="26"/>
      <c r="L11" s="26"/>
      <c r="M11" s="26"/>
      <c r="N11" s="26"/>
      <c r="O11" s="26"/>
      <c r="P11" s="20"/>
    </row>
    <row r="12" spans="1:16" ht="24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8" t="s">
        <v>14</v>
      </c>
      <c r="K12" s="8" t="s">
        <v>15</v>
      </c>
      <c r="L12" s="2"/>
      <c r="M12" s="2"/>
      <c r="N12" s="2"/>
      <c r="O12" s="2"/>
      <c r="P12" s="2"/>
    </row>
    <row r="13" spans="1:16" ht="19.9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9" t="str">
        <f>Data!A11</f>
        <v>Health and safety</v>
      </c>
      <c r="K13" s="9">
        <f>Data!B11</f>
        <v>23</v>
      </c>
      <c r="L13" s="2"/>
      <c r="M13" s="2"/>
      <c r="N13" s="2"/>
      <c r="O13" s="2"/>
      <c r="P13" s="2"/>
    </row>
    <row r="14" spans="1:16" ht="19.9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10" t="str">
        <f>Data!A12</f>
        <v>Customer experience</v>
      </c>
      <c r="K14" s="10">
        <f>Data!B12</f>
        <v>150</v>
      </c>
      <c r="L14" s="2"/>
      <c r="M14" s="2"/>
      <c r="N14" s="2"/>
      <c r="O14" s="2"/>
      <c r="P14" s="2"/>
    </row>
    <row r="15" spans="1:16" ht="19.9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9" t="str">
        <f>Data!A13</f>
        <v>Logistics</v>
      </c>
      <c r="K15" s="9">
        <f>Data!B13</f>
        <v>16</v>
      </c>
      <c r="L15" s="2"/>
      <c r="M15" s="2"/>
      <c r="N15" s="2"/>
      <c r="O15" s="2"/>
      <c r="P15" s="2"/>
    </row>
    <row r="16" spans="1:16" ht="19.9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10" t="str">
        <f>Data!A14</f>
        <v>Workplace organization</v>
      </c>
      <c r="K16" s="10">
        <f>Data!B14</f>
        <v>66</v>
      </c>
      <c r="L16" s="2"/>
      <c r="M16" s="2"/>
      <c r="N16" s="2"/>
      <c r="O16" s="2"/>
      <c r="P16" s="2"/>
    </row>
    <row r="17" spans="1:16" ht="19.9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4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5" t="s">
        <v>16</v>
      </c>
      <c r="K18" s="26"/>
      <c r="L18" s="26"/>
      <c r="M18" s="26"/>
      <c r="N18" s="26"/>
      <c r="O18" s="26"/>
      <c r="P18" s="20"/>
    </row>
    <row r="19" spans="1:16" ht="24" customHeight="1" x14ac:dyDescent="0.3">
      <c r="A19" s="25" t="s">
        <v>17</v>
      </c>
      <c r="B19" s="26"/>
      <c r="C19" s="26"/>
      <c r="D19" s="26"/>
      <c r="E19" s="26"/>
      <c r="F19" s="26"/>
      <c r="G19" s="26"/>
      <c r="H19" s="20"/>
      <c r="I19" s="2"/>
      <c r="J19" s="8" t="s">
        <v>18</v>
      </c>
      <c r="K19" s="8" t="s">
        <v>15</v>
      </c>
      <c r="L19" s="2"/>
      <c r="M19" s="2"/>
      <c r="N19" s="2"/>
      <c r="O19" s="2"/>
      <c r="P19" s="2"/>
    </row>
    <row r="20" spans="1:16" ht="19.9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11" t="str">
        <f>Data!E5</f>
        <v>Total</v>
      </c>
      <c r="K20" s="11">
        <f>Data!F5</f>
        <v>23</v>
      </c>
      <c r="L20" s="2"/>
      <c r="M20" s="2"/>
      <c r="N20" s="2"/>
      <c r="O20" s="2"/>
      <c r="P20" s="2"/>
    </row>
    <row r="21" spans="1:16" ht="19.9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12" t="str">
        <f>Data!E6</f>
        <v>In progress</v>
      </c>
      <c r="K21" s="12">
        <f>Data!F6</f>
        <v>21</v>
      </c>
      <c r="L21" s="2"/>
      <c r="M21" s="2"/>
      <c r="N21" s="2"/>
      <c r="O21" s="2"/>
      <c r="P21" s="2"/>
    </row>
    <row r="22" spans="1:16" ht="19.9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11" t="str">
        <f>Data!E7</f>
        <v>Closed</v>
      </c>
      <c r="K22" s="11">
        <f>Data!F7</f>
        <v>2</v>
      </c>
      <c r="L22" s="2"/>
      <c r="M22" s="2"/>
      <c r="N22" s="2"/>
      <c r="O22" s="2"/>
      <c r="P22" s="2"/>
    </row>
    <row r="23" spans="1:16" ht="19.9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24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5" t="s">
        <v>19</v>
      </c>
      <c r="K24" s="26"/>
      <c r="L24" s="26"/>
      <c r="M24" s="26"/>
      <c r="N24" s="26"/>
      <c r="O24" s="26"/>
      <c r="P24" s="20"/>
    </row>
    <row r="25" spans="1:16" ht="24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8" t="s">
        <v>20</v>
      </c>
      <c r="K25" s="8" t="s">
        <v>15</v>
      </c>
      <c r="L25" s="2"/>
      <c r="M25" s="2"/>
      <c r="N25" s="2"/>
      <c r="O25" s="2"/>
      <c r="P25" s="2"/>
    </row>
    <row r="26" spans="1:16" ht="19.9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11" t="str">
        <f>Data!H5</f>
        <v>Facility</v>
      </c>
      <c r="K26" s="11">
        <f>Data!I5</f>
        <v>10</v>
      </c>
      <c r="L26" s="2"/>
      <c r="M26" s="2"/>
      <c r="N26" s="2"/>
      <c r="O26" s="2"/>
      <c r="P26" s="2"/>
    </row>
    <row r="27" spans="1:16" ht="19.9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12" t="str">
        <f>Data!H6</f>
        <v>Process</v>
      </c>
      <c r="K27" s="12">
        <f>Data!I6</f>
        <v>11</v>
      </c>
      <c r="L27" s="2"/>
      <c r="M27" s="2"/>
      <c r="N27" s="2"/>
      <c r="O27" s="2"/>
      <c r="P27" s="2"/>
    </row>
    <row r="28" spans="1:16" ht="19.9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11" t="str">
        <f>Data!H7</f>
        <v>Training</v>
      </c>
      <c r="K28" s="11">
        <f>Data!I7</f>
        <v>1</v>
      </c>
      <c r="L28" s="2"/>
      <c r="M28" s="2"/>
      <c r="N28" s="2"/>
      <c r="O28" s="2"/>
      <c r="P28" s="2"/>
    </row>
    <row r="29" spans="1:16" ht="19.9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9.9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9.9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9.9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9.9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4" customHeight="1" x14ac:dyDescent="0.3">
      <c r="A34" s="25" t="s">
        <v>21</v>
      </c>
      <c r="B34" s="26"/>
      <c r="C34" s="26"/>
      <c r="D34" s="26"/>
      <c r="E34" s="26"/>
      <c r="F34" s="26"/>
      <c r="G34" s="26"/>
      <c r="H34" s="20"/>
      <c r="I34" s="2"/>
      <c r="J34" s="2"/>
      <c r="K34" s="2"/>
      <c r="L34" s="2"/>
      <c r="M34" s="2"/>
      <c r="N34" s="2"/>
      <c r="O34" s="2"/>
      <c r="P34" s="2"/>
    </row>
    <row r="35" spans="1:16" ht="19.9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9.9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9.9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9.9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9.9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9.9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9.9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9.9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9.9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9.9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9.9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9.9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9.9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9.9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9.9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</sheetData>
  <mergeCells count="19">
    <mergeCell ref="A34:H34"/>
    <mergeCell ref="J24:P24"/>
    <mergeCell ref="G7:H8"/>
    <mergeCell ref="A7:B8"/>
    <mergeCell ref="A19:H19"/>
    <mergeCell ref="J11:P11"/>
    <mergeCell ref="C6:D6"/>
    <mergeCell ref="A1:P2"/>
    <mergeCell ref="J3:M3"/>
    <mergeCell ref="A6:B6"/>
    <mergeCell ref="J18:P18"/>
    <mergeCell ref="C7:D8"/>
    <mergeCell ref="E7:F8"/>
    <mergeCell ref="G6:H6"/>
    <mergeCell ref="J5:P5"/>
    <mergeCell ref="A3:H3"/>
    <mergeCell ref="E6:F6"/>
    <mergeCell ref="A5:H5"/>
    <mergeCell ref="N3:P3"/>
  </mergeCells>
  <pageMargins left="0.75" right="0.75" top="1" bottom="1" header="0.5" footer="0.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showGridLines="0" zoomScale="95" workbookViewId="0">
      <pane ySplit="3" topLeftCell="A4" activePane="bottomLeft" state="frozen"/>
      <selection pane="bottomLeft" activeCell="L3" sqref="K3:L9"/>
    </sheetView>
  </sheetViews>
  <sheetFormatPr defaultRowHeight="14.4" x14ac:dyDescent="0.3"/>
  <cols>
    <col min="1" max="1" width="30" customWidth="1"/>
    <col min="2" max="2" width="17" customWidth="1"/>
    <col min="3" max="3" width="16" customWidth="1"/>
    <col min="4" max="4" width="3" customWidth="1"/>
    <col min="5" max="5" width="25" customWidth="1"/>
    <col min="6" max="6" width="15" customWidth="1"/>
    <col min="7" max="7" width="3" customWidth="1"/>
    <col min="8" max="8" width="24" customWidth="1"/>
    <col min="9" max="9" width="15" customWidth="1"/>
    <col min="11" max="11" width="15.5546875" customWidth="1"/>
    <col min="12" max="12" width="21.21875" customWidth="1"/>
  </cols>
  <sheetData>
    <row r="1" spans="1:9" x14ac:dyDescent="0.3">
      <c r="A1" s="38" t="s">
        <v>22</v>
      </c>
      <c r="B1" s="22"/>
      <c r="C1" s="22"/>
      <c r="D1" s="22"/>
      <c r="E1" s="22"/>
      <c r="F1" s="22"/>
      <c r="G1" s="22"/>
      <c r="H1" s="22"/>
      <c r="I1" s="22"/>
    </row>
    <row r="3" spans="1:9" ht="34.799999999999997" x14ac:dyDescent="0.3">
      <c r="A3" s="13" t="s">
        <v>23</v>
      </c>
      <c r="E3" s="13" t="s">
        <v>24</v>
      </c>
      <c r="H3" s="13" t="s">
        <v>25</v>
      </c>
    </row>
    <row r="4" spans="1:9" x14ac:dyDescent="0.3">
      <c r="A4" s="14" t="s">
        <v>10</v>
      </c>
      <c r="B4" s="14" t="s">
        <v>11</v>
      </c>
      <c r="C4" s="14" t="s">
        <v>12</v>
      </c>
      <c r="E4" s="14" t="s">
        <v>18</v>
      </c>
      <c r="F4" s="14" t="s">
        <v>15</v>
      </c>
      <c r="H4" s="14" t="s">
        <v>20</v>
      </c>
      <c r="I4" s="14" t="s">
        <v>15</v>
      </c>
    </row>
    <row r="5" spans="1:9" x14ac:dyDescent="0.3">
      <c r="A5" s="15" t="s">
        <v>26</v>
      </c>
      <c r="B5" s="15">
        <v>55</v>
      </c>
      <c r="C5" s="16">
        <f>IFERROR(B5/$B$5,0)</f>
        <v>1</v>
      </c>
      <c r="E5" s="15" t="s">
        <v>27</v>
      </c>
      <c r="F5" s="15">
        <v>23</v>
      </c>
      <c r="H5" s="15" t="s">
        <v>28</v>
      </c>
      <c r="I5" s="15">
        <v>10</v>
      </c>
    </row>
    <row r="6" spans="1:9" x14ac:dyDescent="0.3">
      <c r="A6" s="15" t="s">
        <v>29</v>
      </c>
      <c r="B6" s="15">
        <v>50</v>
      </c>
      <c r="C6" s="16">
        <f>IFERROR(B6/$B$5,0)</f>
        <v>0.90909090909090906</v>
      </c>
      <c r="E6" s="15" t="s">
        <v>30</v>
      </c>
      <c r="F6" s="15">
        <v>21</v>
      </c>
      <c r="H6" s="15" t="s">
        <v>31</v>
      </c>
      <c r="I6" s="15">
        <v>11</v>
      </c>
    </row>
    <row r="7" spans="1:9" x14ac:dyDescent="0.3">
      <c r="A7" s="15" t="s">
        <v>32</v>
      </c>
      <c r="B7" s="15">
        <v>10</v>
      </c>
      <c r="C7" s="16">
        <f>IFERROR(B7/$B$5,0)</f>
        <v>0.18181818181818182</v>
      </c>
      <c r="E7" s="15" t="s">
        <v>33</v>
      </c>
      <c r="F7" s="15">
        <v>2</v>
      </c>
      <c r="H7" s="15" t="s">
        <v>34</v>
      </c>
      <c r="I7" s="15">
        <v>1</v>
      </c>
    </row>
    <row r="9" spans="1:9" ht="17.399999999999999" x14ac:dyDescent="0.3">
      <c r="A9" s="13" t="s">
        <v>35</v>
      </c>
    </row>
    <row r="10" spans="1:9" x14ac:dyDescent="0.3">
      <c r="A10" s="14" t="s">
        <v>14</v>
      </c>
      <c r="B10" s="14" t="s">
        <v>15</v>
      </c>
    </row>
    <row r="11" spans="1:9" x14ac:dyDescent="0.3">
      <c r="A11" s="15" t="s">
        <v>18</v>
      </c>
      <c r="B11" s="15">
        <v>23</v>
      </c>
    </row>
    <row r="12" spans="1:9" x14ac:dyDescent="0.3">
      <c r="A12" s="15" t="s">
        <v>36</v>
      </c>
      <c r="B12" s="15">
        <v>150</v>
      </c>
    </row>
    <row r="13" spans="1:9" x14ac:dyDescent="0.3">
      <c r="A13" s="15" t="s">
        <v>37</v>
      </c>
      <c r="B13" s="15">
        <v>16</v>
      </c>
    </row>
    <row r="14" spans="1:9" x14ac:dyDescent="0.3">
      <c r="A14" s="15" t="s">
        <v>38</v>
      </c>
      <c r="B14" s="15">
        <v>66</v>
      </c>
    </row>
    <row r="17" spans="1:9" x14ac:dyDescent="0.3">
      <c r="A17" s="39" t="s">
        <v>39</v>
      </c>
      <c r="B17" s="22"/>
      <c r="C17" s="22"/>
      <c r="D17" s="22"/>
      <c r="E17" s="22"/>
      <c r="F17" s="22"/>
      <c r="G17" s="22"/>
      <c r="H17" s="22"/>
      <c r="I17" s="22"/>
    </row>
  </sheetData>
  <mergeCells count="2">
    <mergeCell ref="A1:I1"/>
    <mergeCell ref="A17:I17"/>
  </mergeCells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workbookViewId="0">
      <selection sqref="A1:F2"/>
    </sheetView>
  </sheetViews>
  <sheetFormatPr defaultRowHeight="14.4" x14ac:dyDescent="0.3"/>
  <cols>
    <col min="1" max="1" width="8" customWidth="1"/>
    <col min="2" max="2" width="28" customWidth="1"/>
    <col min="3" max="6" width="20" customWidth="1"/>
  </cols>
  <sheetData>
    <row r="1" spans="1:6" x14ac:dyDescent="0.3">
      <c r="A1" s="42" t="s">
        <v>40</v>
      </c>
      <c r="B1" s="22"/>
      <c r="C1" s="22"/>
      <c r="D1" s="22"/>
      <c r="E1" s="22"/>
      <c r="F1" s="22"/>
    </row>
    <row r="2" spans="1:6" x14ac:dyDescent="0.3">
      <c r="A2" s="22"/>
      <c r="B2" s="22"/>
      <c r="C2" s="22"/>
      <c r="D2" s="22"/>
      <c r="E2" s="22"/>
      <c r="F2" s="22"/>
    </row>
    <row r="4" spans="1:6" ht="36" customHeight="1" x14ac:dyDescent="0.3">
      <c r="A4" s="17" t="s">
        <v>41</v>
      </c>
      <c r="B4" s="18" t="s">
        <v>42</v>
      </c>
      <c r="C4" s="40" t="s">
        <v>43</v>
      </c>
      <c r="D4" s="41"/>
      <c r="E4" s="41"/>
      <c r="F4" s="41"/>
    </row>
    <row r="5" spans="1:6" ht="36" customHeight="1" x14ac:dyDescent="0.3">
      <c r="A5" s="17" t="s">
        <v>44</v>
      </c>
      <c r="B5" s="18" t="s">
        <v>45</v>
      </c>
      <c r="C5" s="40" t="s">
        <v>46</v>
      </c>
      <c r="D5" s="41"/>
      <c r="E5" s="41"/>
      <c r="F5" s="41"/>
    </row>
    <row r="6" spans="1:6" ht="36" customHeight="1" x14ac:dyDescent="0.3">
      <c r="A6" s="17" t="s">
        <v>47</v>
      </c>
      <c r="B6" s="18" t="s">
        <v>48</v>
      </c>
      <c r="C6" s="40" t="s">
        <v>49</v>
      </c>
      <c r="D6" s="41"/>
      <c r="E6" s="41"/>
      <c r="F6" s="41"/>
    </row>
    <row r="7" spans="1:6" ht="36" customHeight="1" x14ac:dyDescent="0.3">
      <c r="A7" s="17" t="s">
        <v>50</v>
      </c>
      <c r="B7" s="18" t="s">
        <v>51</v>
      </c>
      <c r="C7" s="40" t="s">
        <v>52</v>
      </c>
      <c r="D7" s="41"/>
      <c r="E7" s="41"/>
      <c r="F7" s="41"/>
    </row>
    <row r="8" spans="1:6" ht="36" customHeight="1" x14ac:dyDescent="0.3">
      <c r="A8" s="17" t="s">
        <v>53</v>
      </c>
      <c r="B8" s="18" t="s">
        <v>54</v>
      </c>
      <c r="C8" s="40" t="s">
        <v>55</v>
      </c>
      <c r="D8" s="41"/>
      <c r="E8" s="41"/>
      <c r="F8" s="41"/>
    </row>
  </sheetData>
  <mergeCells count="6">
    <mergeCell ref="C8:F8"/>
    <mergeCell ref="C4:F4"/>
    <mergeCell ref="A1:F2"/>
    <mergeCell ref="C6:F6"/>
    <mergeCell ref="C7:F7"/>
    <mergeCell ref="C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LUNA SPARKY</cp:lastModifiedBy>
  <dcterms:created xsi:type="dcterms:W3CDTF">2026-10-16T01:44:31Z</dcterms:created>
  <dcterms:modified xsi:type="dcterms:W3CDTF">2026-10-16T02:19:42Z</dcterms:modified>
</cp:coreProperties>
</file>